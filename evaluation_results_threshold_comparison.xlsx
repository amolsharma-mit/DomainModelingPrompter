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6" i="1" l="1"/>
  <c r="Q6" i="1"/>
  <c r="R6" i="1"/>
  <c r="S6" i="1"/>
  <c r="T6" i="1"/>
  <c r="U6" i="1"/>
  <c r="P7" i="1"/>
  <c r="Q7" i="1"/>
  <c r="R7" i="1"/>
  <c r="S7" i="1"/>
  <c r="T7" i="1"/>
  <c r="U7" i="1"/>
  <c r="P8" i="1"/>
  <c r="Q8" i="1"/>
  <c r="R8" i="1"/>
  <c r="S8" i="1"/>
  <c r="T8" i="1"/>
  <c r="U8" i="1"/>
  <c r="P9" i="1"/>
  <c r="Q9" i="1"/>
  <c r="R9" i="1"/>
  <c r="S9" i="1"/>
  <c r="T9" i="1"/>
  <c r="U9" i="1"/>
  <c r="P10" i="1"/>
  <c r="Q10" i="1"/>
  <c r="R10" i="1"/>
  <c r="S10" i="1"/>
  <c r="T10" i="1"/>
  <c r="U10" i="1"/>
  <c r="P11" i="1"/>
  <c r="Q11" i="1"/>
  <c r="R11" i="1"/>
  <c r="S11" i="1"/>
  <c r="T11" i="1"/>
  <c r="U11" i="1"/>
  <c r="P12" i="1"/>
  <c r="Q12" i="1"/>
  <c r="R12" i="1"/>
  <c r="S12" i="1"/>
  <c r="T12" i="1"/>
  <c r="U12" i="1"/>
  <c r="P13" i="1"/>
  <c r="Q13" i="1"/>
  <c r="R13" i="1"/>
  <c r="S13" i="1"/>
  <c r="T13" i="1"/>
  <c r="U13" i="1"/>
  <c r="Q5" i="1"/>
  <c r="R5" i="1"/>
  <c r="S5" i="1"/>
  <c r="T5" i="1"/>
  <c r="U5" i="1"/>
  <c r="P5" i="1"/>
</calcChain>
</file>

<file path=xl/sharedStrings.xml><?xml version="1.0" encoding="utf-8"?>
<sst xmlns="http://schemas.openxmlformats.org/spreadsheetml/2006/main" count="64" uniqueCount="15">
  <si>
    <t>Dataset</t>
  </si>
  <si>
    <t>Method</t>
  </si>
  <si>
    <t>Class Precision</t>
  </si>
  <si>
    <t>Class Recall</t>
  </si>
  <si>
    <t>Class F1</t>
  </si>
  <si>
    <t>Rel Precision</t>
  </si>
  <si>
    <t>Rel Recall</t>
  </si>
  <si>
    <t>Rel F1</t>
  </si>
  <si>
    <t>domain_model_comparison_CP.xlsx</t>
  </si>
  <si>
    <t>Single Prompt</t>
  </si>
  <si>
    <t>Multi Step</t>
  </si>
  <si>
    <t>No Few Shot</t>
  </si>
  <si>
    <t>DMP</t>
  </si>
  <si>
    <t>domain_model_comparison_RMS.xlsx</t>
  </si>
  <si>
    <t>domain_model_comparison_OPS.xlsx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</si>
</sst>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Border="1"/>
    <xf numFmtId="0" fontId="0" fillId="2" borderId="25" xfId="0" applyFill="1" applyBorder="1"/>
    <xf numFmtId="0" fontId="0" fillId="2" borderId="0" xfId="0" applyFill="1" applyBorder="1"/>
    <xf numFmtId="0" fontId="0" fillId="2" borderId="26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22" xfId="0" applyFill="1" applyBorder="1"/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2" borderId="9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D1" workbookViewId="0">
      <selection activeCell="P5" sqref="P5:U13"/>
    </sheetView>
  </sheetViews>
  <sheetFormatPr defaultRowHeight="14.5" x14ac:dyDescent="0.35"/>
  <cols>
    <col min="1" max="1" width="35.453125" bestFit="1" customWidth="1"/>
    <col min="2" max="2" width="13.54296875" bestFit="1" customWidth="1"/>
    <col min="3" max="3" width="14.1796875" bestFit="1" customWidth="1"/>
    <col min="4" max="4" width="11.1796875" bestFit="1" customWidth="1"/>
    <col min="5" max="5" width="7.81640625" bestFit="1" customWidth="1"/>
    <col min="6" max="6" width="12.453125" bestFit="1" customWidth="1"/>
    <col min="7" max="7" width="9.54296875" bestFit="1" customWidth="1"/>
    <col min="8" max="8" width="6.26953125" bestFit="1" customWidth="1"/>
  </cols>
  <sheetData>
    <row r="1" spans="1:21" ht="15" thickBot="1" x14ac:dyDescent="0.4">
      <c r="A1" s="2" t="s">
        <v>0</v>
      </c>
      <c r="B1" s="11" t="s">
        <v>1</v>
      </c>
      <c r="C1" s="19" t="s">
        <v>2</v>
      </c>
      <c r="D1" s="20" t="s">
        <v>3</v>
      </c>
      <c r="E1" s="21" t="s">
        <v>4</v>
      </c>
      <c r="F1" s="15" t="s">
        <v>5</v>
      </c>
      <c r="G1" s="2" t="s">
        <v>6</v>
      </c>
      <c r="H1" s="2" t="s">
        <v>7</v>
      </c>
    </row>
    <row r="2" spans="1:21" x14ac:dyDescent="0.35">
      <c r="A2" s="3" t="s">
        <v>8</v>
      </c>
      <c r="B2" s="12" t="s">
        <v>9</v>
      </c>
      <c r="C2" s="3">
        <v>0.81499999999999995</v>
      </c>
      <c r="D2" s="4">
        <v>0.56399999999999995</v>
      </c>
      <c r="E2" s="5">
        <v>0.66700000000000004</v>
      </c>
      <c r="F2" s="16">
        <v>0.53500000000000003</v>
      </c>
      <c r="G2" s="4">
        <v>0.2</v>
      </c>
      <c r="H2" s="5">
        <v>0.29099999999999998</v>
      </c>
    </row>
    <row r="3" spans="1:21" x14ac:dyDescent="0.35">
      <c r="A3" s="6" t="s">
        <v>8</v>
      </c>
      <c r="B3" s="13" t="s">
        <v>10</v>
      </c>
      <c r="C3" s="6">
        <v>0.79300000000000004</v>
      </c>
      <c r="D3" s="1">
        <v>0.59</v>
      </c>
      <c r="E3" s="7">
        <v>0.67600000000000005</v>
      </c>
      <c r="F3" s="17">
        <v>0.65800000000000003</v>
      </c>
      <c r="G3" s="1">
        <v>0.217</v>
      </c>
      <c r="H3" s="7">
        <v>0.32700000000000001</v>
      </c>
    </row>
    <row r="4" spans="1:21" x14ac:dyDescent="0.35">
      <c r="A4" s="6" t="s">
        <v>8</v>
      </c>
      <c r="B4" s="13" t="s">
        <v>11</v>
      </c>
      <c r="C4" s="6">
        <v>0.71</v>
      </c>
      <c r="D4" s="1">
        <v>0.56399999999999995</v>
      </c>
      <c r="E4" s="7">
        <v>0.629</v>
      </c>
      <c r="F4" s="17">
        <v>0.54200000000000004</v>
      </c>
      <c r="G4" s="1">
        <v>0.22600000000000001</v>
      </c>
      <c r="H4" s="7">
        <v>0.31900000000000001</v>
      </c>
    </row>
    <row r="5" spans="1:21" ht="15" thickBot="1" x14ac:dyDescent="0.4">
      <c r="A5" s="8" t="s">
        <v>8</v>
      </c>
      <c r="B5" s="14" t="s">
        <v>12</v>
      </c>
      <c r="C5" s="8">
        <v>0.77800000000000002</v>
      </c>
      <c r="D5" s="9">
        <v>0.53800000000000003</v>
      </c>
      <c r="E5" s="10">
        <v>0.63600000000000001</v>
      </c>
      <c r="F5" s="18">
        <v>0.42599999999999999</v>
      </c>
      <c r="G5" s="9">
        <v>0.2</v>
      </c>
      <c r="H5" s="10">
        <v>0.27200000000000002</v>
      </c>
      <c r="J5" s="38">
        <v>0.9</v>
      </c>
      <c r="K5" s="39">
        <v>0.68</v>
      </c>
      <c r="L5" s="40">
        <v>0.78</v>
      </c>
      <c r="M5" s="38">
        <v>0.87</v>
      </c>
      <c r="N5" s="39">
        <v>0.41</v>
      </c>
      <c r="O5" s="40">
        <v>0.56000000000000005</v>
      </c>
      <c r="P5">
        <f>C5-J5</f>
        <v>-0.122</v>
      </c>
      <c r="Q5">
        <f t="shared" ref="Q5:U5" si="0">D5-K5</f>
        <v>-0.14200000000000002</v>
      </c>
      <c r="R5">
        <f t="shared" si="0"/>
        <v>-0.14400000000000002</v>
      </c>
      <c r="S5">
        <f t="shared" si="0"/>
        <v>-0.44400000000000001</v>
      </c>
      <c r="T5">
        <f t="shared" si="0"/>
        <v>-0.20999999999999996</v>
      </c>
      <c r="U5">
        <f t="shared" si="0"/>
        <v>-0.28800000000000003</v>
      </c>
    </row>
    <row r="6" spans="1:21" x14ac:dyDescent="0.35">
      <c r="A6" s="3" t="s">
        <v>13</v>
      </c>
      <c r="B6" s="12" t="s">
        <v>9</v>
      </c>
      <c r="C6" s="3">
        <v>0.78900000000000003</v>
      </c>
      <c r="D6" s="4">
        <v>0.46899999999999997</v>
      </c>
      <c r="E6" s="5">
        <v>0.58799999999999997</v>
      </c>
      <c r="F6" s="16">
        <v>5.2999999999999999E-2</v>
      </c>
      <c r="G6" s="4">
        <v>0.02</v>
      </c>
      <c r="H6" s="5">
        <v>2.9000000000000001E-2</v>
      </c>
      <c r="J6" s="41">
        <v>0.78900000000000003</v>
      </c>
      <c r="K6" s="42">
        <v>0.46899999999999997</v>
      </c>
      <c r="L6" s="43">
        <v>0.58799999999999997</v>
      </c>
      <c r="M6" s="41">
        <v>5.2999999999999999E-2</v>
      </c>
      <c r="N6" s="42">
        <v>0.02</v>
      </c>
      <c r="O6" s="43">
        <v>2.9000000000000001E-2</v>
      </c>
      <c r="P6">
        <f t="shared" ref="P6:P13" si="1">C6-J6</f>
        <v>0</v>
      </c>
      <c r="Q6">
        <f t="shared" ref="Q6:Q13" si="2">D6-K6</f>
        <v>0</v>
      </c>
      <c r="R6">
        <f t="shared" ref="R6:R13" si="3">E6-L6</f>
        <v>0</v>
      </c>
      <c r="S6">
        <f t="shared" ref="S6:S13" si="4">F6-M6</f>
        <v>0</v>
      </c>
      <c r="T6">
        <f t="shared" ref="T6:T13" si="5">G6-N6</f>
        <v>0</v>
      </c>
      <c r="U6">
        <f t="shared" ref="U6:U13" si="6">H6-O6</f>
        <v>0</v>
      </c>
    </row>
    <row r="7" spans="1:21" x14ac:dyDescent="0.35">
      <c r="A7" s="6" t="s">
        <v>13</v>
      </c>
      <c r="B7" s="13" t="s">
        <v>10</v>
      </c>
      <c r="C7" s="6">
        <v>0.76</v>
      </c>
      <c r="D7" s="1">
        <v>0.59399999999999997</v>
      </c>
      <c r="E7" s="7">
        <v>0.66700000000000004</v>
      </c>
      <c r="F7" s="17">
        <v>0.48799999999999999</v>
      </c>
      <c r="G7" s="1">
        <v>0.4</v>
      </c>
      <c r="H7" s="7">
        <v>0.44</v>
      </c>
      <c r="J7" s="44">
        <v>0.72</v>
      </c>
      <c r="K7" s="45">
        <v>0.56200000000000006</v>
      </c>
      <c r="L7" s="46">
        <v>0.63200000000000001</v>
      </c>
      <c r="M7" s="44">
        <v>0.46300000000000002</v>
      </c>
      <c r="N7" s="45">
        <v>0.38</v>
      </c>
      <c r="O7" s="46">
        <v>0.41799999999999998</v>
      </c>
      <c r="P7">
        <f t="shared" si="1"/>
        <v>4.0000000000000036E-2</v>
      </c>
      <c r="Q7">
        <f t="shared" si="2"/>
        <v>3.1999999999999917E-2</v>
      </c>
      <c r="R7">
        <f t="shared" si="3"/>
        <v>3.5000000000000031E-2</v>
      </c>
      <c r="S7">
        <f t="shared" si="4"/>
        <v>2.4999999999999967E-2</v>
      </c>
      <c r="T7">
        <f t="shared" si="5"/>
        <v>2.0000000000000018E-2</v>
      </c>
      <c r="U7">
        <f t="shared" si="6"/>
        <v>2.200000000000002E-2</v>
      </c>
    </row>
    <row r="8" spans="1:21" x14ac:dyDescent="0.35">
      <c r="A8" s="6" t="s">
        <v>13</v>
      </c>
      <c r="B8" s="13" t="s">
        <v>11</v>
      </c>
      <c r="C8" s="6">
        <v>0.75</v>
      </c>
      <c r="D8" s="1">
        <v>0.65600000000000003</v>
      </c>
      <c r="E8" s="7">
        <v>0.7</v>
      </c>
      <c r="F8" s="17">
        <v>0.26800000000000002</v>
      </c>
      <c r="G8" s="1">
        <v>0.22</v>
      </c>
      <c r="H8" s="7">
        <v>0.24199999999999999</v>
      </c>
      <c r="J8" s="44">
        <v>0.75</v>
      </c>
      <c r="K8" s="45">
        <v>0.65600000000000003</v>
      </c>
      <c r="L8" s="46">
        <v>0.7</v>
      </c>
      <c r="M8" s="44">
        <v>0.26800000000000002</v>
      </c>
      <c r="N8" s="45">
        <v>0.22</v>
      </c>
      <c r="O8" s="46">
        <v>0.24199999999999999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  <c r="U8">
        <f t="shared" si="6"/>
        <v>0</v>
      </c>
    </row>
    <row r="9" spans="1:21" ht="15" thickBot="1" x14ac:dyDescent="0.4">
      <c r="A9" s="8" t="s">
        <v>13</v>
      </c>
      <c r="B9" s="14" t="s">
        <v>12</v>
      </c>
      <c r="C9" s="8">
        <v>0.89300000000000002</v>
      </c>
      <c r="D9" s="9">
        <v>0.78100000000000003</v>
      </c>
      <c r="E9" s="10">
        <v>0.83299999999999996</v>
      </c>
      <c r="F9" s="18">
        <v>0.26700000000000002</v>
      </c>
      <c r="G9" s="9">
        <v>0.24</v>
      </c>
      <c r="H9" s="10">
        <v>0.253</v>
      </c>
      <c r="J9" s="38">
        <v>0.96</v>
      </c>
      <c r="K9" s="39">
        <v>0.84</v>
      </c>
      <c r="L9" s="40">
        <v>0.9</v>
      </c>
      <c r="M9" s="38">
        <v>1</v>
      </c>
      <c r="N9" s="39">
        <v>0.7</v>
      </c>
      <c r="O9" s="40">
        <v>0.82</v>
      </c>
      <c r="P9">
        <f t="shared" si="1"/>
        <v>-6.6999999999999948E-2</v>
      </c>
      <c r="Q9">
        <f t="shared" si="2"/>
        <v>-5.8999999999999941E-2</v>
      </c>
      <c r="R9">
        <f t="shared" si="3"/>
        <v>-6.700000000000006E-2</v>
      </c>
      <c r="S9">
        <f t="shared" si="4"/>
        <v>-0.73299999999999998</v>
      </c>
      <c r="T9">
        <f t="shared" si="5"/>
        <v>-0.45999999999999996</v>
      </c>
      <c r="U9">
        <f t="shared" si="6"/>
        <v>-0.56699999999999995</v>
      </c>
    </row>
    <row r="10" spans="1:21" x14ac:dyDescent="0.35">
      <c r="A10" s="3" t="s">
        <v>14</v>
      </c>
      <c r="B10" s="12" t="s">
        <v>9</v>
      </c>
      <c r="C10" s="3">
        <v>0.90500000000000003</v>
      </c>
      <c r="D10" s="4">
        <v>0.51400000000000001</v>
      </c>
      <c r="E10" s="5">
        <v>0.65500000000000003</v>
      </c>
      <c r="F10" s="16">
        <v>0.32400000000000001</v>
      </c>
      <c r="G10" s="4">
        <v>0.2</v>
      </c>
      <c r="H10" s="5">
        <v>0.247</v>
      </c>
      <c r="J10" s="41">
        <v>0.90500000000000003</v>
      </c>
      <c r="K10" s="42">
        <v>0.51400000000000001</v>
      </c>
      <c r="L10" s="43">
        <v>0.65500000000000003</v>
      </c>
      <c r="M10" s="41">
        <v>0.29399999999999998</v>
      </c>
      <c r="N10" s="42">
        <v>0.182</v>
      </c>
      <c r="O10" s="43">
        <v>0.22500000000000001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3.0000000000000027E-2</v>
      </c>
      <c r="T10">
        <f t="shared" si="5"/>
        <v>1.8000000000000016E-2</v>
      </c>
      <c r="U10">
        <f t="shared" si="6"/>
        <v>2.1999999999999992E-2</v>
      </c>
    </row>
    <row r="11" spans="1:21" x14ac:dyDescent="0.35">
      <c r="A11" s="6" t="s">
        <v>14</v>
      </c>
      <c r="B11" s="13" t="s">
        <v>10</v>
      </c>
      <c r="C11" s="6">
        <v>0.88200000000000001</v>
      </c>
      <c r="D11" s="1">
        <v>0.81100000000000005</v>
      </c>
      <c r="E11" s="7">
        <v>0.84499999999999997</v>
      </c>
      <c r="F11" s="17">
        <v>0.5</v>
      </c>
      <c r="G11" s="1">
        <v>0.36399999999999999</v>
      </c>
      <c r="H11" s="7">
        <v>0.42099999999999999</v>
      </c>
      <c r="J11" s="44">
        <v>0.88200000000000001</v>
      </c>
      <c r="K11" s="47">
        <v>0.81100000000000005</v>
      </c>
      <c r="L11" s="46">
        <v>0.84499999999999997</v>
      </c>
      <c r="M11" s="44">
        <v>0.47499999999999998</v>
      </c>
      <c r="N11" s="45">
        <v>0.34499999999999997</v>
      </c>
      <c r="O11" s="46">
        <v>0.4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2.5000000000000022E-2</v>
      </c>
      <c r="T11">
        <f t="shared" si="5"/>
        <v>1.9000000000000017E-2</v>
      </c>
      <c r="U11">
        <f t="shared" si="6"/>
        <v>2.0999999999999963E-2</v>
      </c>
    </row>
    <row r="12" spans="1:21" x14ac:dyDescent="0.35">
      <c r="A12" s="6" t="s">
        <v>14</v>
      </c>
      <c r="B12" s="13" t="s">
        <v>11</v>
      </c>
      <c r="C12" s="6">
        <v>0.88200000000000001</v>
      </c>
      <c r="D12" s="1">
        <v>0.81100000000000005</v>
      </c>
      <c r="E12" s="7">
        <v>0.84499999999999997</v>
      </c>
      <c r="F12" s="17">
        <v>0.57099999999999995</v>
      </c>
      <c r="G12" s="1">
        <v>0.436</v>
      </c>
      <c r="H12" s="7">
        <v>0.495</v>
      </c>
      <c r="J12" s="44">
        <v>0.88200000000000001</v>
      </c>
      <c r="K12" s="47">
        <v>0.81100000000000005</v>
      </c>
      <c r="L12" s="46">
        <v>0.84499999999999997</v>
      </c>
      <c r="M12" s="44">
        <v>0.54800000000000004</v>
      </c>
      <c r="N12" s="45">
        <v>0.41799999999999998</v>
      </c>
      <c r="O12" s="46">
        <v>0.47399999999999998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2.2999999999999909E-2</v>
      </c>
      <c r="T12">
        <f t="shared" si="5"/>
        <v>1.8000000000000016E-2</v>
      </c>
      <c r="U12">
        <f t="shared" si="6"/>
        <v>2.1000000000000019E-2</v>
      </c>
    </row>
    <row r="13" spans="1:21" ht="15" thickBot="1" x14ac:dyDescent="0.4">
      <c r="A13" s="8" t="s">
        <v>14</v>
      </c>
      <c r="B13" s="14" t="s">
        <v>12</v>
      </c>
      <c r="C13" s="8">
        <v>0.81799999999999995</v>
      </c>
      <c r="D13" s="9">
        <v>0.73</v>
      </c>
      <c r="E13" s="10">
        <v>0.77100000000000002</v>
      </c>
      <c r="F13" s="18">
        <v>0.47399999999999998</v>
      </c>
      <c r="G13" s="9">
        <v>0.32700000000000001</v>
      </c>
      <c r="H13" s="10">
        <v>0.38700000000000001</v>
      </c>
      <c r="J13" s="38">
        <v>0.91</v>
      </c>
      <c r="K13" s="48">
        <v>0.81</v>
      </c>
      <c r="L13" s="40">
        <v>0.86</v>
      </c>
      <c r="M13" s="38">
        <v>0.87</v>
      </c>
      <c r="N13" s="39">
        <v>0.62</v>
      </c>
      <c r="O13" s="40">
        <v>0.72</v>
      </c>
      <c r="P13">
        <f t="shared" si="1"/>
        <v>-9.2000000000000082E-2</v>
      </c>
      <c r="Q13">
        <f t="shared" si="2"/>
        <v>-8.0000000000000071E-2</v>
      </c>
      <c r="R13">
        <f t="shared" si="3"/>
        <v>-8.8999999999999968E-2</v>
      </c>
      <c r="S13">
        <f t="shared" si="4"/>
        <v>-0.39600000000000002</v>
      </c>
      <c r="T13">
        <f t="shared" si="5"/>
        <v>-0.29299999999999998</v>
      </c>
      <c r="U13">
        <f t="shared" si="6"/>
        <v>-0.33299999999999996</v>
      </c>
    </row>
    <row r="14" spans="1:21" ht="15" thickBot="1" x14ac:dyDescent="0.4"/>
    <row r="15" spans="1:21" ht="15" thickBot="1" x14ac:dyDescent="0.4">
      <c r="A15" s="2" t="s">
        <v>0</v>
      </c>
      <c r="B15" s="11" t="s">
        <v>1</v>
      </c>
      <c r="C15" s="19" t="s">
        <v>2</v>
      </c>
      <c r="D15" s="20" t="s">
        <v>3</v>
      </c>
      <c r="E15" s="21" t="s">
        <v>4</v>
      </c>
      <c r="F15" s="19" t="s">
        <v>5</v>
      </c>
      <c r="G15" s="20" t="s">
        <v>6</v>
      </c>
      <c r="H15" s="21" t="s">
        <v>7</v>
      </c>
    </row>
    <row r="16" spans="1:21" x14ac:dyDescent="0.35">
      <c r="A16" s="22" t="s">
        <v>8</v>
      </c>
      <c r="B16" s="23" t="s">
        <v>9</v>
      </c>
      <c r="C16" s="22">
        <v>0.74099999999999999</v>
      </c>
      <c r="D16" s="23">
        <v>0.129</v>
      </c>
      <c r="E16" s="24">
        <v>0.22</v>
      </c>
      <c r="F16" s="22">
        <v>0.46500000000000002</v>
      </c>
      <c r="G16" s="23">
        <v>0.17399999999999999</v>
      </c>
      <c r="H16" s="24">
        <v>0.253</v>
      </c>
    </row>
    <row r="17" spans="1:8" x14ac:dyDescent="0.35">
      <c r="A17" s="25" t="s">
        <v>8</v>
      </c>
      <c r="B17" s="26" t="s">
        <v>10</v>
      </c>
      <c r="C17" s="27">
        <v>0.79300000000000004</v>
      </c>
      <c r="D17" s="28">
        <v>0.14799999999999999</v>
      </c>
      <c r="E17" s="29">
        <v>0.25</v>
      </c>
      <c r="F17" s="27">
        <v>0.60499999999999998</v>
      </c>
      <c r="G17" s="28">
        <v>0.2</v>
      </c>
      <c r="H17" s="29">
        <v>0.30099999999999999</v>
      </c>
    </row>
    <row r="18" spans="1:8" x14ac:dyDescent="0.35">
      <c r="A18" s="25" t="s">
        <v>8</v>
      </c>
      <c r="B18" s="26" t="s">
        <v>11</v>
      </c>
      <c r="C18" s="25">
        <v>0.71</v>
      </c>
      <c r="D18" s="26">
        <v>0.14199999999999999</v>
      </c>
      <c r="E18" s="30">
        <v>0.23699999999999999</v>
      </c>
      <c r="F18" s="25">
        <v>0.47899999999999998</v>
      </c>
      <c r="G18" s="28">
        <v>0.2</v>
      </c>
      <c r="H18" s="30">
        <v>0.28199999999999997</v>
      </c>
    </row>
    <row r="19" spans="1:8" ht="15" thickBot="1" x14ac:dyDescent="0.4">
      <c r="A19" s="31" t="s">
        <v>8</v>
      </c>
      <c r="B19" s="32" t="s">
        <v>12</v>
      </c>
      <c r="C19" s="31">
        <v>0.74099999999999999</v>
      </c>
      <c r="D19" s="32">
        <v>0.129</v>
      </c>
      <c r="E19" s="33">
        <v>0.22</v>
      </c>
      <c r="F19" s="31">
        <v>0.37</v>
      </c>
      <c r="G19" s="32">
        <v>0.17399999999999999</v>
      </c>
      <c r="H19" s="33">
        <v>0.23699999999999999</v>
      </c>
    </row>
    <row r="20" spans="1:8" x14ac:dyDescent="0.35">
      <c r="A20" s="22" t="s">
        <v>13</v>
      </c>
      <c r="B20" s="23" t="s">
        <v>9</v>
      </c>
      <c r="C20" s="22">
        <v>0.78900000000000003</v>
      </c>
      <c r="D20" s="23">
        <v>0.46899999999999997</v>
      </c>
      <c r="E20" s="24">
        <v>0.58799999999999997</v>
      </c>
      <c r="F20" s="22">
        <v>5.2999999999999999E-2</v>
      </c>
      <c r="G20" s="23">
        <v>0.02</v>
      </c>
      <c r="H20" s="24">
        <v>2.9000000000000001E-2</v>
      </c>
    </row>
    <row r="21" spans="1:8" x14ac:dyDescent="0.35">
      <c r="A21" s="25" t="s">
        <v>13</v>
      </c>
      <c r="B21" s="26" t="s">
        <v>10</v>
      </c>
      <c r="C21" s="25">
        <v>0.72</v>
      </c>
      <c r="D21" s="26">
        <v>0.56200000000000006</v>
      </c>
      <c r="E21" s="30">
        <v>0.63200000000000001</v>
      </c>
      <c r="F21" s="27">
        <v>0.46300000000000002</v>
      </c>
      <c r="G21" s="28">
        <v>0.38</v>
      </c>
      <c r="H21" s="29">
        <v>0.41799999999999998</v>
      </c>
    </row>
    <row r="22" spans="1:8" x14ac:dyDescent="0.35">
      <c r="A22" s="25" t="s">
        <v>13</v>
      </c>
      <c r="B22" s="26" t="s">
        <v>11</v>
      </c>
      <c r="C22" s="25">
        <v>0.75</v>
      </c>
      <c r="D22" s="26">
        <v>0.65600000000000003</v>
      </c>
      <c r="E22" s="30">
        <v>0.7</v>
      </c>
      <c r="F22" s="25">
        <v>0.26800000000000002</v>
      </c>
      <c r="G22" s="26">
        <v>0.22</v>
      </c>
      <c r="H22" s="30">
        <v>0.24199999999999999</v>
      </c>
    </row>
    <row r="23" spans="1:8" ht="15" thickBot="1" x14ac:dyDescent="0.4">
      <c r="A23" s="31" t="s">
        <v>13</v>
      </c>
      <c r="B23" s="32" t="s">
        <v>12</v>
      </c>
      <c r="C23" s="34">
        <v>0.89300000000000002</v>
      </c>
      <c r="D23" s="35">
        <v>0.78100000000000003</v>
      </c>
      <c r="E23" s="36">
        <v>0.83299999999999996</v>
      </c>
      <c r="F23" s="31">
        <v>0.2</v>
      </c>
      <c r="G23" s="32">
        <v>0.18</v>
      </c>
      <c r="H23" s="33">
        <v>0.189</v>
      </c>
    </row>
    <row r="24" spans="1:8" x14ac:dyDescent="0.35">
      <c r="A24" s="22" t="s">
        <v>14</v>
      </c>
      <c r="B24" s="23" t="s">
        <v>9</v>
      </c>
      <c r="C24" s="37">
        <v>0.90500000000000003</v>
      </c>
      <c r="D24" s="23">
        <v>0.51400000000000001</v>
      </c>
      <c r="E24" s="24">
        <v>0.65500000000000003</v>
      </c>
      <c r="F24" s="22">
        <v>0.29399999999999998</v>
      </c>
      <c r="G24" s="23">
        <v>0.182</v>
      </c>
      <c r="H24" s="24">
        <v>0.22500000000000001</v>
      </c>
    </row>
    <row r="25" spans="1:8" x14ac:dyDescent="0.35">
      <c r="A25" s="25" t="s">
        <v>14</v>
      </c>
      <c r="B25" s="26" t="s">
        <v>10</v>
      </c>
      <c r="C25" s="25">
        <v>0.88200000000000001</v>
      </c>
      <c r="D25" s="28">
        <v>0.81100000000000005</v>
      </c>
      <c r="E25" s="29">
        <v>0.84499999999999997</v>
      </c>
      <c r="F25" s="25">
        <v>0.47499999999999998</v>
      </c>
      <c r="G25" s="26">
        <v>0.34499999999999997</v>
      </c>
      <c r="H25" s="30">
        <v>0.4</v>
      </c>
    </row>
    <row r="26" spans="1:8" x14ac:dyDescent="0.35">
      <c r="A26" s="25" t="s">
        <v>14</v>
      </c>
      <c r="B26" s="26" t="s">
        <v>11</v>
      </c>
      <c r="C26" s="25">
        <v>0.88200000000000001</v>
      </c>
      <c r="D26" s="28">
        <v>0.81100000000000005</v>
      </c>
      <c r="E26" s="29">
        <v>0.84499999999999997</v>
      </c>
      <c r="F26" s="27">
        <v>0.54800000000000004</v>
      </c>
      <c r="G26" s="28">
        <v>0.41799999999999998</v>
      </c>
      <c r="H26" s="29">
        <v>0.47399999999999998</v>
      </c>
    </row>
    <row r="27" spans="1:8" ht="15" thickBot="1" x14ac:dyDescent="0.4">
      <c r="A27" s="31" t="s">
        <v>14</v>
      </c>
      <c r="B27" s="32" t="s">
        <v>12</v>
      </c>
      <c r="C27" s="31">
        <v>0.81799999999999995</v>
      </c>
      <c r="D27" s="32">
        <v>0.73</v>
      </c>
      <c r="E27" s="33">
        <v>0.77100000000000002</v>
      </c>
      <c r="F27" s="31">
        <v>0.44700000000000001</v>
      </c>
      <c r="G27" s="32">
        <v>0.309</v>
      </c>
      <c r="H27" s="33">
        <v>0.36599999999999999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2026-04-25T10:31:39Z</dcterms:created>
  <dcterms:modified xsi:type="dcterms:W3CDTF">2026-04-26T14:10:01Z</dcterms:modified>
</cp:coreProperties>
</file>