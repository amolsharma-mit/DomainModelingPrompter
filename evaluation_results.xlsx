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docs\Projects\PythonProject\DMP\"/>
    </mc:Choice>
  </mc:AlternateContent>
  <bookViews>
    <workbookView xWindow="0" yWindow="0" windowWidth="19200" windowHeight="635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J37" i="1" l="1"/>
  <c r="K37" i="1"/>
  <c r="L37" i="1"/>
  <c r="M37" i="1"/>
  <c r="N37" i="1"/>
  <c r="O37" i="1"/>
  <c r="J33" i="1"/>
  <c r="K33" i="1"/>
  <c r="L33" i="1"/>
  <c r="M33" i="1"/>
  <c r="N33" i="1"/>
  <c r="O33" i="1"/>
  <c r="K29" i="1"/>
  <c r="L29" i="1"/>
  <c r="M29" i="1"/>
  <c r="N29" i="1"/>
  <c r="O29" i="1"/>
  <c r="J29" i="1"/>
  <c r="J3" i="1"/>
  <c r="K3" i="1"/>
  <c r="L3" i="1"/>
  <c r="M3" i="1"/>
  <c r="N3" i="1"/>
  <c r="O3" i="1"/>
  <c r="J4" i="1"/>
  <c r="K4" i="1"/>
  <c r="L4" i="1"/>
  <c r="M4" i="1"/>
  <c r="N4" i="1"/>
  <c r="O4" i="1"/>
  <c r="J5" i="1"/>
  <c r="K5" i="1"/>
  <c r="L5" i="1"/>
  <c r="M5" i="1"/>
  <c r="N5" i="1"/>
  <c r="O5" i="1"/>
  <c r="J6" i="1"/>
  <c r="K6" i="1"/>
  <c r="L6" i="1"/>
  <c r="M6" i="1"/>
  <c r="N6" i="1"/>
  <c r="O6" i="1"/>
  <c r="J7" i="1"/>
  <c r="K7" i="1"/>
  <c r="L7" i="1"/>
  <c r="M7" i="1"/>
  <c r="N7" i="1"/>
  <c r="O7" i="1"/>
  <c r="J8" i="1"/>
  <c r="K8" i="1"/>
  <c r="L8" i="1"/>
  <c r="M8" i="1"/>
  <c r="N8" i="1"/>
  <c r="O8" i="1"/>
  <c r="J9" i="1"/>
  <c r="K9" i="1"/>
  <c r="L9" i="1"/>
  <c r="M9" i="1"/>
  <c r="N9" i="1"/>
  <c r="O9" i="1"/>
  <c r="J10" i="1"/>
  <c r="K10" i="1"/>
  <c r="L10" i="1"/>
  <c r="M10" i="1"/>
  <c r="N10" i="1"/>
  <c r="O10" i="1"/>
  <c r="J11" i="1"/>
  <c r="K11" i="1"/>
  <c r="L11" i="1"/>
  <c r="M11" i="1"/>
  <c r="N11" i="1"/>
  <c r="O11" i="1"/>
  <c r="J12" i="1"/>
  <c r="K12" i="1"/>
  <c r="L12" i="1"/>
  <c r="M12" i="1"/>
  <c r="N12" i="1"/>
  <c r="O12" i="1"/>
  <c r="J13" i="1"/>
  <c r="K13" i="1"/>
  <c r="L13" i="1"/>
  <c r="M13" i="1"/>
  <c r="N13" i="1"/>
  <c r="O13" i="1"/>
  <c r="K2" i="1"/>
  <c r="L2" i="1"/>
  <c r="M2" i="1"/>
  <c r="N2" i="1"/>
  <c r="O2" i="1"/>
  <c r="J2" i="1"/>
</calcChain>
</file>

<file path=xl/sharedStrings.xml><?xml version="1.0" encoding="utf-8"?>
<sst xmlns="http://schemas.openxmlformats.org/spreadsheetml/2006/main" count="64" uniqueCount="15">
  <si>
    <t>Dataset</t>
  </si>
  <si>
    <t>Method</t>
  </si>
  <si>
    <t>Class Precision</t>
  </si>
  <si>
    <t>Class Recall</t>
  </si>
  <si>
    <t>Class F1</t>
  </si>
  <si>
    <t>Rel Precision</t>
  </si>
  <si>
    <t>Rel Recall</t>
  </si>
  <si>
    <t>Rel F1</t>
  </si>
  <si>
    <t>domain_model_comparison_CP.xlsx</t>
  </si>
  <si>
    <t>Single Prompt</t>
  </si>
  <si>
    <t>Multi Step</t>
  </si>
  <si>
    <t>No Few Shot</t>
  </si>
  <si>
    <t>DMP</t>
  </si>
  <si>
    <t>domain_model_comparison_RMS.xlsx</t>
  </si>
  <si>
    <t>domain_model_comparison_OPS.xlsx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</si>
</sst>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</fills>
  <borders count="2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2" xfId="0" applyFont="1" applyBorder="1" applyAlignment="1">
      <alignment horizontal="center" vertical="top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0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1" fillId="0" borderId="11" xfId="0" applyFont="1" applyBorder="1" applyAlignment="1">
      <alignment horizontal="center" vertical="top"/>
    </xf>
    <xf numFmtId="0" fontId="1" fillId="0" borderId="12" xfId="0" applyFont="1" applyBorder="1" applyAlignment="1">
      <alignment horizontal="center" vertical="top"/>
    </xf>
    <xf numFmtId="0" fontId="1" fillId="0" borderId="13" xfId="0" applyFont="1" applyBorder="1" applyAlignment="1">
      <alignment horizontal="center" vertical="top"/>
    </xf>
    <xf numFmtId="0" fontId="1" fillId="0" borderId="14" xfId="0" applyFont="1" applyBorder="1" applyAlignment="1">
      <alignment horizontal="center" vertical="top"/>
    </xf>
    <xf numFmtId="0" fontId="0" fillId="0" borderId="8" xfId="0" applyFill="1" applyBorder="1"/>
    <xf numFmtId="0" fontId="0" fillId="2" borderId="7" xfId="0" applyFill="1" applyBorder="1"/>
    <xf numFmtId="0" fontId="0" fillId="2" borderId="10" xfId="0" applyFill="1" applyBorder="1"/>
    <xf numFmtId="0" fontId="0" fillId="0" borderId="3" xfId="0" applyFill="1" applyBorder="1"/>
    <xf numFmtId="0" fontId="0" fillId="0" borderId="6" xfId="0" applyFill="1" applyBorder="1"/>
    <xf numFmtId="0" fontId="0" fillId="0" borderId="8" xfId="0" applyFont="1" applyBorder="1"/>
    <xf numFmtId="0" fontId="0" fillId="0" borderId="9" xfId="0" applyFont="1" applyBorder="1"/>
    <xf numFmtId="0" fontId="0" fillId="2" borderId="10" xfId="0" applyFont="1" applyFill="1" applyBorder="1"/>
    <xf numFmtId="0" fontId="2" fillId="2" borderId="15" xfId="0" applyFont="1" applyFill="1" applyBorder="1" applyAlignment="1">
      <alignment horizontal="right"/>
    </xf>
    <xf numFmtId="0" fontId="2" fillId="2" borderId="16" xfId="0" applyFont="1" applyFill="1" applyBorder="1" applyAlignment="1">
      <alignment horizontal="right"/>
    </xf>
    <xf numFmtId="0" fontId="2" fillId="2" borderId="17" xfId="0" applyFont="1" applyFill="1" applyBorder="1" applyAlignment="1">
      <alignment horizontal="right"/>
    </xf>
    <xf numFmtId="0" fontId="0" fillId="0" borderId="18" xfId="0" applyFill="1" applyBorder="1" applyAlignment="1">
      <alignment horizontal="right"/>
    </xf>
    <xf numFmtId="0" fontId="0" fillId="0" borderId="19" xfId="0" applyFill="1" applyBorder="1" applyAlignment="1">
      <alignment horizontal="right"/>
    </xf>
    <xf numFmtId="0" fontId="0" fillId="0" borderId="20" xfId="0" applyFill="1" applyBorder="1" applyAlignment="1">
      <alignment horizontal="right"/>
    </xf>
    <xf numFmtId="0" fontId="0" fillId="0" borderId="21" xfId="0" applyFill="1" applyBorder="1" applyAlignment="1">
      <alignment horizontal="right"/>
    </xf>
    <xf numFmtId="0" fontId="0" fillId="0" borderId="1" xfId="0" applyFill="1" applyBorder="1" applyAlignment="1">
      <alignment horizontal="right"/>
    </xf>
    <xf numFmtId="0" fontId="0" fillId="0" borderId="22" xfId="0" applyFill="1" applyBorder="1" applyAlignment="1">
      <alignment horizontal="right"/>
    </xf>
    <xf numFmtId="0" fontId="2" fillId="0" borderId="1" xfId="0" applyFont="1" applyFill="1" applyBorder="1" applyAlignment="1">
      <alignment horizontal="right"/>
    </xf>
    <xf numFmtId="0" fontId="0" fillId="2" borderId="16" xfId="0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37"/>
  <sheetViews>
    <sheetView tabSelected="1" topLeftCell="A21" workbookViewId="0">
      <selection activeCell="J29" sqref="J29:O37"/>
    </sheetView>
  </sheetViews>
  <sheetFormatPr defaultRowHeight="14.5" x14ac:dyDescent="0.35"/>
  <cols>
    <col min="1" max="1" width="33.08984375" bestFit="1" customWidth="1"/>
    <col min="2" max="2" width="12.26953125" bestFit="1" customWidth="1"/>
    <col min="3" max="3" width="13.08984375" bestFit="1" customWidth="1"/>
    <col min="4" max="4" width="10.26953125" bestFit="1" customWidth="1"/>
    <col min="5" max="5" width="7.36328125" bestFit="1" customWidth="1"/>
    <col min="6" max="6" width="11.36328125" bestFit="1" customWidth="1"/>
    <col min="7" max="7" width="8.6328125" bestFit="1" customWidth="1"/>
    <col min="8" max="8" width="5.81640625" bestFit="1" customWidth="1"/>
  </cols>
  <sheetData>
    <row r="1" spans="1:15" ht="15" thickBot="1" x14ac:dyDescent="0.4">
      <c r="A1" s="1" t="s">
        <v>0</v>
      </c>
      <c r="B1" s="11" t="s">
        <v>1</v>
      </c>
      <c r="C1" s="12" t="s">
        <v>2</v>
      </c>
      <c r="D1" s="13" t="s">
        <v>3</v>
      </c>
      <c r="E1" s="14" t="s">
        <v>4</v>
      </c>
      <c r="F1" s="12" t="s">
        <v>5</v>
      </c>
      <c r="G1" s="13" t="s">
        <v>6</v>
      </c>
      <c r="H1" s="14" t="s">
        <v>7</v>
      </c>
    </row>
    <row r="2" spans="1:15" x14ac:dyDescent="0.35">
      <c r="A2" s="2" t="s">
        <v>8</v>
      </c>
      <c r="B2" s="3" t="s">
        <v>9</v>
      </c>
      <c r="C2" s="2">
        <v>0.81499999999999995</v>
      </c>
      <c r="D2" s="3">
        <v>0.56399999999999995</v>
      </c>
      <c r="E2" s="4">
        <v>0.66700000000000004</v>
      </c>
      <c r="F2" s="2">
        <v>0.97699999999999998</v>
      </c>
      <c r="G2" s="3">
        <v>0.36499999999999999</v>
      </c>
      <c r="H2" s="4">
        <v>0.53200000000000003</v>
      </c>
      <c r="J2">
        <f>ROUND(C2,2)</f>
        <v>0.82</v>
      </c>
      <c r="K2">
        <f t="shared" ref="K2:O2" si="0">ROUND(D2,2)</f>
        <v>0.56000000000000005</v>
      </c>
      <c r="L2">
        <f t="shared" si="0"/>
        <v>0.67</v>
      </c>
      <c r="M2">
        <f t="shared" si="0"/>
        <v>0.98</v>
      </c>
      <c r="N2">
        <f t="shared" si="0"/>
        <v>0.37</v>
      </c>
      <c r="O2">
        <f t="shared" si="0"/>
        <v>0.53</v>
      </c>
    </row>
    <row r="3" spans="1:15" x14ac:dyDescent="0.35">
      <c r="A3" s="5" t="s">
        <v>8</v>
      </c>
      <c r="B3" s="6" t="s">
        <v>10</v>
      </c>
      <c r="C3" s="5">
        <v>0.79300000000000004</v>
      </c>
      <c r="D3" s="6">
        <v>0.59</v>
      </c>
      <c r="E3" s="16">
        <v>0.67600000000000005</v>
      </c>
      <c r="F3" s="5">
        <v>1</v>
      </c>
      <c r="G3" s="6">
        <v>0.33</v>
      </c>
      <c r="H3" s="7">
        <v>0.497</v>
      </c>
      <c r="J3">
        <f t="shared" ref="J3:J13" si="1">ROUND(C3,2)</f>
        <v>0.79</v>
      </c>
      <c r="K3">
        <f t="shared" ref="K3:K13" si="2">ROUND(D3,2)</f>
        <v>0.59</v>
      </c>
      <c r="L3">
        <f t="shared" ref="L3:L13" si="3">ROUND(E3,2)</f>
        <v>0.68</v>
      </c>
      <c r="M3">
        <f t="shared" ref="M3:M13" si="4">ROUND(F3,2)</f>
        <v>1</v>
      </c>
      <c r="N3">
        <f t="shared" ref="N3:N13" si="5">ROUND(G3,2)</f>
        <v>0.33</v>
      </c>
      <c r="O3">
        <f t="shared" ref="O3:O13" si="6">ROUND(H3,2)</f>
        <v>0.5</v>
      </c>
    </row>
    <row r="4" spans="1:15" x14ac:dyDescent="0.35">
      <c r="A4" s="5" t="s">
        <v>8</v>
      </c>
      <c r="B4" s="6" t="s">
        <v>11</v>
      </c>
      <c r="C4" s="5">
        <v>0.71</v>
      </c>
      <c r="D4" s="6">
        <v>0.56399999999999995</v>
      </c>
      <c r="E4" s="7">
        <v>0.629</v>
      </c>
      <c r="F4" s="5">
        <v>0.95799999999999996</v>
      </c>
      <c r="G4" s="6">
        <v>0.4</v>
      </c>
      <c r="H4" s="7">
        <v>0.56399999999999995</v>
      </c>
      <c r="J4">
        <f t="shared" si="1"/>
        <v>0.71</v>
      </c>
      <c r="K4">
        <f t="shared" si="2"/>
        <v>0.56000000000000005</v>
      </c>
      <c r="L4">
        <f t="shared" si="3"/>
        <v>0.63</v>
      </c>
      <c r="M4">
        <f t="shared" si="4"/>
        <v>0.96</v>
      </c>
      <c r="N4">
        <f t="shared" si="5"/>
        <v>0.4</v>
      </c>
      <c r="O4">
        <f t="shared" si="6"/>
        <v>0.56000000000000005</v>
      </c>
    </row>
    <row r="5" spans="1:15" ht="15" thickBot="1" x14ac:dyDescent="0.4">
      <c r="A5" s="8" t="s">
        <v>8</v>
      </c>
      <c r="B5" s="9" t="s">
        <v>12</v>
      </c>
      <c r="C5" s="8">
        <v>0.77800000000000002</v>
      </c>
      <c r="D5" s="9">
        <v>0.53800000000000003</v>
      </c>
      <c r="E5" s="10">
        <v>0.63600000000000001</v>
      </c>
      <c r="F5" s="20">
        <v>0.98099999999999998</v>
      </c>
      <c r="G5" s="21">
        <v>0.46100000000000002</v>
      </c>
      <c r="H5" s="22">
        <v>0.627</v>
      </c>
      <c r="J5">
        <f t="shared" si="1"/>
        <v>0.78</v>
      </c>
      <c r="K5">
        <f t="shared" si="2"/>
        <v>0.54</v>
      </c>
      <c r="L5">
        <f t="shared" si="3"/>
        <v>0.64</v>
      </c>
      <c r="M5">
        <f t="shared" si="4"/>
        <v>0.98</v>
      </c>
      <c r="N5">
        <f t="shared" si="5"/>
        <v>0.46</v>
      </c>
      <c r="O5">
        <f t="shared" si="6"/>
        <v>0.63</v>
      </c>
    </row>
    <row r="6" spans="1:15" x14ac:dyDescent="0.35">
      <c r="A6" s="2" t="s">
        <v>13</v>
      </c>
      <c r="B6" s="3" t="s">
        <v>9</v>
      </c>
      <c r="C6" s="2">
        <v>0.78900000000000003</v>
      </c>
      <c r="D6" s="3">
        <v>0.46899999999999997</v>
      </c>
      <c r="E6" s="4">
        <v>0.58799999999999997</v>
      </c>
      <c r="F6" s="2">
        <v>0.73699999999999999</v>
      </c>
      <c r="G6" s="3">
        <v>0.28000000000000003</v>
      </c>
      <c r="H6" s="4">
        <v>0.40600000000000003</v>
      </c>
      <c r="J6">
        <f t="shared" si="1"/>
        <v>0.79</v>
      </c>
      <c r="K6">
        <f t="shared" si="2"/>
        <v>0.47</v>
      </c>
      <c r="L6">
        <f t="shared" si="3"/>
        <v>0.59</v>
      </c>
      <c r="M6">
        <f t="shared" si="4"/>
        <v>0.74</v>
      </c>
      <c r="N6">
        <f t="shared" si="5"/>
        <v>0.28000000000000003</v>
      </c>
      <c r="O6">
        <f t="shared" si="6"/>
        <v>0.41</v>
      </c>
    </row>
    <row r="7" spans="1:15" x14ac:dyDescent="0.35">
      <c r="A7" s="5" t="s">
        <v>13</v>
      </c>
      <c r="B7" s="6" t="s">
        <v>10</v>
      </c>
      <c r="C7" s="5">
        <v>0.76</v>
      </c>
      <c r="D7" s="6">
        <v>0.59399999999999997</v>
      </c>
      <c r="E7" s="7">
        <v>0.66700000000000004</v>
      </c>
      <c r="F7" s="5">
        <v>0.85399999999999998</v>
      </c>
      <c r="G7" s="6">
        <v>0.7</v>
      </c>
      <c r="H7" s="7">
        <v>0.76900000000000002</v>
      </c>
      <c r="J7">
        <f t="shared" si="1"/>
        <v>0.76</v>
      </c>
      <c r="K7">
        <f t="shared" si="2"/>
        <v>0.59</v>
      </c>
      <c r="L7">
        <f t="shared" si="3"/>
        <v>0.67</v>
      </c>
      <c r="M7">
        <f t="shared" si="4"/>
        <v>0.85</v>
      </c>
      <c r="N7">
        <f t="shared" si="5"/>
        <v>0.7</v>
      </c>
      <c r="O7">
        <f t="shared" si="6"/>
        <v>0.77</v>
      </c>
    </row>
    <row r="8" spans="1:15" x14ac:dyDescent="0.35">
      <c r="A8" s="5" t="s">
        <v>13</v>
      </c>
      <c r="B8" s="6" t="s">
        <v>11</v>
      </c>
      <c r="C8" s="5">
        <v>0.75</v>
      </c>
      <c r="D8" s="6">
        <v>0.65600000000000003</v>
      </c>
      <c r="E8" s="7">
        <v>0.7</v>
      </c>
      <c r="F8" s="5">
        <v>0.68300000000000005</v>
      </c>
      <c r="G8" s="6">
        <v>0.56000000000000005</v>
      </c>
      <c r="H8" s="7">
        <v>0.61499999999999999</v>
      </c>
      <c r="J8">
        <f t="shared" si="1"/>
        <v>0.75</v>
      </c>
      <c r="K8">
        <f t="shared" si="2"/>
        <v>0.66</v>
      </c>
      <c r="L8">
        <f t="shared" si="3"/>
        <v>0.7</v>
      </c>
      <c r="M8">
        <f t="shared" si="4"/>
        <v>0.68</v>
      </c>
      <c r="N8">
        <f t="shared" si="5"/>
        <v>0.56000000000000005</v>
      </c>
      <c r="O8">
        <f t="shared" si="6"/>
        <v>0.62</v>
      </c>
    </row>
    <row r="9" spans="1:15" ht="15" thickBot="1" x14ac:dyDescent="0.4">
      <c r="A9" s="8" t="s">
        <v>13</v>
      </c>
      <c r="B9" s="9" t="s">
        <v>12</v>
      </c>
      <c r="C9" s="8">
        <v>0.89300000000000002</v>
      </c>
      <c r="D9" s="9">
        <v>0.78100000000000003</v>
      </c>
      <c r="E9" s="17">
        <v>0.83299999999999996</v>
      </c>
      <c r="F9" s="20">
        <v>1</v>
      </c>
      <c r="G9" s="21">
        <v>0.9</v>
      </c>
      <c r="H9" s="22">
        <v>0.94699999999999995</v>
      </c>
      <c r="J9">
        <f t="shared" si="1"/>
        <v>0.89</v>
      </c>
      <c r="K9">
        <f t="shared" si="2"/>
        <v>0.78</v>
      </c>
      <c r="L9">
        <f t="shared" si="3"/>
        <v>0.83</v>
      </c>
      <c r="M9">
        <f t="shared" si="4"/>
        <v>1</v>
      </c>
      <c r="N9">
        <f t="shared" si="5"/>
        <v>0.9</v>
      </c>
      <c r="O9">
        <f t="shared" si="6"/>
        <v>0.95</v>
      </c>
    </row>
    <row r="10" spans="1:15" x14ac:dyDescent="0.35">
      <c r="A10" s="2" t="s">
        <v>14</v>
      </c>
      <c r="B10" s="3" t="s">
        <v>9</v>
      </c>
      <c r="C10" s="2">
        <v>0.90500000000000003</v>
      </c>
      <c r="D10" s="3">
        <v>0.51400000000000001</v>
      </c>
      <c r="E10" s="4">
        <v>0.65500000000000003</v>
      </c>
      <c r="F10" s="18">
        <v>0.94099999999999995</v>
      </c>
      <c r="G10" s="3">
        <v>0.58199999999999996</v>
      </c>
      <c r="H10" s="4">
        <v>0.71899999999999997</v>
      </c>
      <c r="J10">
        <f t="shared" si="1"/>
        <v>0.91</v>
      </c>
      <c r="K10">
        <f t="shared" si="2"/>
        <v>0.51</v>
      </c>
      <c r="L10">
        <f t="shared" si="3"/>
        <v>0.66</v>
      </c>
      <c r="M10">
        <f t="shared" si="4"/>
        <v>0.94</v>
      </c>
      <c r="N10">
        <f t="shared" si="5"/>
        <v>0.57999999999999996</v>
      </c>
      <c r="O10">
        <f t="shared" si="6"/>
        <v>0.72</v>
      </c>
    </row>
    <row r="11" spans="1:15" x14ac:dyDescent="0.35">
      <c r="A11" s="5" t="s">
        <v>14</v>
      </c>
      <c r="B11" s="6" t="s">
        <v>10</v>
      </c>
      <c r="C11" s="5">
        <v>0.88200000000000001</v>
      </c>
      <c r="D11" s="6">
        <v>0.81100000000000005</v>
      </c>
      <c r="E11" s="16">
        <v>0.84499999999999997</v>
      </c>
      <c r="F11" s="19">
        <v>0.82499999999999996</v>
      </c>
      <c r="G11" s="6">
        <v>0.6</v>
      </c>
      <c r="H11" s="7">
        <v>0.69499999999999995</v>
      </c>
      <c r="J11">
        <f t="shared" si="1"/>
        <v>0.88</v>
      </c>
      <c r="K11">
        <f t="shared" si="2"/>
        <v>0.81</v>
      </c>
      <c r="L11">
        <f t="shared" si="3"/>
        <v>0.85</v>
      </c>
      <c r="M11">
        <f t="shared" si="4"/>
        <v>0.83</v>
      </c>
      <c r="N11">
        <f t="shared" si="5"/>
        <v>0.6</v>
      </c>
      <c r="O11">
        <f t="shared" si="6"/>
        <v>0.7</v>
      </c>
    </row>
    <row r="12" spans="1:15" x14ac:dyDescent="0.35">
      <c r="A12" s="5" t="s">
        <v>14</v>
      </c>
      <c r="B12" s="6" t="s">
        <v>11</v>
      </c>
      <c r="C12" s="5">
        <v>0.88200000000000001</v>
      </c>
      <c r="D12" s="6">
        <v>0.81100000000000005</v>
      </c>
      <c r="E12" s="16">
        <v>0.84499999999999997</v>
      </c>
      <c r="F12" s="19">
        <v>0.88100000000000001</v>
      </c>
      <c r="G12" s="6">
        <v>0.67300000000000004</v>
      </c>
      <c r="H12" s="16">
        <v>0.76300000000000001</v>
      </c>
      <c r="J12">
        <f t="shared" si="1"/>
        <v>0.88</v>
      </c>
      <c r="K12">
        <f t="shared" si="2"/>
        <v>0.81</v>
      </c>
      <c r="L12">
        <f t="shared" si="3"/>
        <v>0.85</v>
      </c>
      <c r="M12">
        <f t="shared" si="4"/>
        <v>0.88</v>
      </c>
      <c r="N12">
        <f t="shared" si="5"/>
        <v>0.67</v>
      </c>
      <c r="O12">
        <f t="shared" si="6"/>
        <v>0.76</v>
      </c>
    </row>
    <row r="13" spans="1:15" ht="15" thickBot="1" x14ac:dyDescent="0.4">
      <c r="A13" s="8" t="s">
        <v>14</v>
      </c>
      <c r="B13" s="9" t="s">
        <v>12</v>
      </c>
      <c r="C13" s="8">
        <v>0.81799999999999995</v>
      </c>
      <c r="D13" s="9">
        <v>0.73</v>
      </c>
      <c r="E13" s="10">
        <v>0.77100000000000002</v>
      </c>
      <c r="F13" s="15">
        <v>0.89500000000000002</v>
      </c>
      <c r="G13" s="9">
        <v>0.61799999999999999</v>
      </c>
      <c r="H13" s="10">
        <v>0.73099999999999998</v>
      </c>
      <c r="J13">
        <f t="shared" si="1"/>
        <v>0.82</v>
      </c>
      <c r="K13">
        <f t="shared" si="2"/>
        <v>0.73</v>
      </c>
      <c r="L13">
        <f t="shared" si="3"/>
        <v>0.77</v>
      </c>
      <c r="M13">
        <f t="shared" si="4"/>
        <v>0.9</v>
      </c>
      <c r="N13">
        <f t="shared" si="5"/>
        <v>0.62</v>
      </c>
      <c r="O13">
        <f t="shared" si="6"/>
        <v>0.73</v>
      </c>
    </row>
    <row r="14" spans="1:15" ht="15" thickBot="1" x14ac:dyDescent="0.4"/>
    <row r="15" spans="1:15" ht="15" thickBot="1" x14ac:dyDescent="0.4">
      <c r="A15" s="1" t="s">
        <v>0</v>
      </c>
      <c r="B15" s="11" t="s">
        <v>1</v>
      </c>
      <c r="C15" s="12" t="s">
        <v>2</v>
      </c>
      <c r="D15" s="13" t="s">
        <v>3</v>
      </c>
      <c r="E15" s="14" t="s">
        <v>4</v>
      </c>
      <c r="F15" s="12" t="s">
        <v>5</v>
      </c>
      <c r="G15" s="13" t="s">
        <v>6</v>
      </c>
      <c r="H15" s="14" t="s">
        <v>7</v>
      </c>
    </row>
    <row r="16" spans="1:15" x14ac:dyDescent="0.35">
      <c r="A16" s="2" t="s">
        <v>8</v>
      </c>
      <c r="B16" s="3" t="s">
        <v>9</v>
      </c>
      <c r="C16" s="2">
        <v>0.82</v>
      </c>
      <c r="D16" s="3">
        <v>0.56000000000000005</v>
      </c>
      <c r="E16" s="4">
        <v>0.67</v>
      </c>
      <c r="F16" s="2">
        <v>0.98</v>
      </c>
      <c r="G16" s="3">
        <v>0.37</v>
      </c>
      <c r="H16" s="4">
        <v>0.53</v>
      </c>
    </row>
    <row r="17" spans="1:15" x14ac:dyDescent="0.35">
      <c r="A17" s="5" t="s">
        <v>8</v>
      </c>
      <c r="B17" s="6" t="s">
        <v>10</v>
      </c>
      <c r="C17" s="5">
        <v>0.79</v>
      </c>
      <c r="D17" s="6">
        <v>0.59</v>
      </c>
      <c r="E17" s="16">
        <v>0.68</v>
      </c>
      <c r="F17" s="5">
        <v>1</v>
      </c>
      <c r="G17" s="6">
        <v>0.33</v>
      </c>
      <c r="H17" s="7">
        <v>0.5</v>
      </c>
    </row>
    <row r="18" spans="1:15" x14ac:dyDescent="0.35">
      <c r="A18" s="5" t="s">
        <v>8</v>
      </c>
      <c r="B18" s="6" t="s">
        <v>11</v>
      </c>
      <c r="C18" s="5">
        <v>0.71</v>
      </c>
      <c r="D18" s="6">
        <v>0.56000000000000005</v>
      </c>
      <c r="E18" s="7">
        <v>0.63</v>
      </c>
      <c r="F18" s="5">
        <v>0.96</v>
      </c>
      <c r="G18" s="6">
        <v>0.4</v>
      </c>
      <c r="H18" s="7">
        <v>0.56000000000000005</v>
      </c>
    </row>
    <row r="19" spans="1:15" ht="15" thickBot="1" x14ac:dyDescent="0.4">
      <c r="A19" s="8" t="s">
        <v>8</v>
      </c>
      <c r="B19" s="9" t="s">
        <v>12</v>
      </c>
      <c r="C19" s="8">
        <v>0.78</v>
      </c>
      <c r="D19" s="9">
        <v>0.54</v>
      </c>
      <c r="E19" s="10">
        <v>0.64</v>
      </c>
      <c r="F19" s="20">
        <v>0.98</v>
      </c>
      <c r="G19" s="21">
        <v>0.46</v>
      </c>
      <c r="H19" s="22">
        <v>0.63</v>
      </c>
      <c r="J19" s="23">
        <v>0.9</v>
      </c>
      <c r="K19" s="24">
        <v>0.68</v>
      </c>
      <c r="L19" s="25">
        <v>0.78</v>
      </c>
      <c r="M19" s="23">
        <v>0.87</v>
      </c>
      <c r="N19" s="24">
        <v>0.41</v>
      </c>
      <c r="O19" s="25">
        <v>0.56000000000000005</v>
      </c>
    </row>
    <row r="20" spans="1:15" x14ac:dyDescent="0.35">
      <c r="A20" s="2" t="s">
        <v>13</v>
      </c>
      <c r="B20" s="3" t="s">
        <v>9</v>
      </c>
      <c r="C20" s="2">
        <v>0.79</v>
      </c>
      <c r="D20" s="3">
        <v>0.47</v>
      </c>
      <c r="E20" s="4">
        <v>0.59</v>
      </c>
      <c r="F20" s="2">
        <v>0.74</v>
      </c>
      <c r="G20" s="3">
        <v>0.28000000000000003</v>
      </c>
      <c r="H20" s="4">
        <v>0.41</v>
      </c>
      <c r="J20" s="26"/>
      <c r="K20" s="27"/>
      <c r="L20" s="28"/>
      <c r="M20" s="26"/>
      <c r="N20" s="27"/>
      <c r="O20" s="28"/>
    </row>
    <row r="21" spans="1:15" x14ac:dyDescent="0.35">
      <c r="A21" s="5" t="s">
        <v>13</v>
      </c>
      <c r="B21" s="6" t="s">
        <v>10</v>
      </c>
      <c r="C21" s="5">
        <v>0.76</v>
      </c>
      <c r="D21" s="6">
        <v>0.59</v>
      </c>
      <c r="E21" s="7">
        <v>0.67</v>
      </c>
      <c r="F21" s="5">
        <v>0.85</v>
      </c>
      <c r="G21" s="6">
        <v>0.7</v>
      </c>
      <c r="H21" s="7">
        <v>0.77</v>
      </c>
      <c r="J21" s="29"/>
      <c r="K21" s="30"/>
      <c r="L21" s="31"/>
      <c r="M21" s="29"/>
      <c r="N21" s="30"/>
      <c r="O21" s="31"/>
    </row>
    <row r="22" spans="1:15" x14ac:dyDescent="0.35">
      <c r="A22" s="5" t="s">
        <v>13</v>
      </c>
      <c r="B22" s="6" t="s">
        <v>11</v>
      </c>
      <c r="C22" s="5">
        <v>0.75</v>
      </c>
      <c r="D22" s="6">
        <v>0.66</v>
      </c>
      <c r="E22" s="7">
        <v>0.7</v>
      </c>
      <c r="F22" s="5">
        <v>0.68</v>
      </c>
      <c r="G22" s="6">
        <v>0.56000000000000005</v>
      </c>
      <c r="H22" s="7">
        <v>0.62</v>
      </c>
      <c r="J22" s="29"/>
      <c r="K22" s="30"/>
      <c r="L22" s="31"/>
      <c r="M22" s="29"/>
      <c r="N22" s="30"/>
      <c r="O22" s="31"/>
    </row>
    <row r="23" spans="1:15" ht="15" thickBot="1" x14ac:dyDescent="0.4">
      <c r="A23" s="8" t="s">
        <v>13</v>
      </c>
      <c r="B23" s="9" t="s">
        <v>12</v>
      </c>
      <c r="C23" s="8">
        <v>0.89</v>
      </c>
      <c r="D23" s="9">
        <v>0.78</v>
      </c>
      <c r="E23" s="17">
        <v>0.83</v>
      </c>
      <c r="F23" s="20">
        <v>1</v>
      </c>
      <c r="G23" s="21">
        <v>0.9</v>
      </c>
      <c r="H23" s="22">
        <v>0.95</v>
      </c>
      <c r="J23" s="23">
        <v>0.96</v>
      </c>
      <c r="K23" s="24">
        <v>0.84</v>
      </c>
      <c r="L23" s="25">
        <v>0.9</v>
      </c>
      <c r="M23" s="23">
        <v>1</v>
      </c>
      <c r="N23" s="24">
        <v>0.7</v>
      </c>
      <c r="O23" s="25">
        <v>0.82</v>
      </c>
    </row>
    <row r="24" spans="1:15" x14ac:dyDescent="0.35">
      <c r="A24" s="2" t="s">
        <v>14</v>
      </c>
      <c r="B24" s="3" t="s">
        <v>9</v>
      </c>
      <c r="C24" s="2">
        <v>0.91</v>
      </c>
      <c r="D24" s="3">
        <v>0.51</v>
      </c>
      <c r="E24" s="4">
        <v>0.66</v>
      </c>
      <c r="F24" s="18">
        <v>0.94</v>
      </c>
      <c r="G24" s="3">
        <v>0.57999999999999996</v>
      </c>
      <c r="H24" s="4">
        <v>0.72</v>
      </c>
      <c r="J24" s="26"/>
      <c r="K24" s="27"/>
      <c r="L24" s="28"/>
      <c r="M24" s="26"/>
      <c r="N24" s="27"/>
      <c r="O24" s="28"/>
    </row>
    <row r="25" spans="1:15" x14ac:dyDescent="0.35">
      <c r="A25" s="5" t="s">
        <v>14</v>
      </c>
      <c r="B25" s="6" t="s">
        <v>10</v>
      </c>
      <c r="C25" s="5">
        <v>0.88</v>
      </c>
      <c r="D25" s="6">
        <v>0.81</v>
      </c>
      <c r="E25" s="16">
        <v>0.85</v>
      </c>
      <c r="F25" s="19">
        <v>0.83</v>
      </c>
      <c r="G25" s="6">
        <v>0.6</v>
      </c>
      <c r="H25" s="7">
        <v>0.7</v>
      </c>
      <c r="J25" s="29"/>
      <c r="K25" s="32"/>
      <c r="L25" s="31"/>
      <c r="M25" s="29"/>
      <c r="N25" s="30"/>
      <c r="O25" s="31"/>
    </row>
    <row r="26" spans="1:15" x14ac:dyDescent="0.35">
      <c r="A26" s="5" t="s">
        <v>14</v>
      </c>
      <c r="B26" s="6" t="s">
        <v>11</v>
      </c>
      <c r="C26" s="5">
        <v>0.88</v>
      </c>
      <c r="D26" s="6">
        <v>0.81</v>
      </c>
      <c r="E26" s="16">
        <v>0.85</v>
      </c>
      <c r="F26" s="19">
        <v>0.88</v>
      </c>
      <c r="G26" s="6">
        <v>0.67</v>
      </c>
      <c r="H26" s="16">
        <v>0.76</v>
      </c>
      <c r="J26" s="29"/>
      <c r="K26" s="32"/>
      <c r="L26" s="31"/>
      <c r="M26" s="29"/>
      <c r="N26" s="30"/>
      <c r="O26" s="31"/>
    </row>
    <row r="27" spans="1:15" ht="15" thickBot="1" x14ac:dyDescent="0.4">
      <c r="A27" s="8" t="s">
        <v>14</v>
      </c>
      <c r="B27" s="9" t="s">
        <v>12</v>
      </c>
      <c r="C27" s="8">
        <v>0.82</v>
      </c>
      <c r="D27" s="9">
        <v>0.73</v>
      </c>
      <c r="E27" s="10">
        <v>0.77</v>
      </c>
      <c r="F27" s="15">
        <v>0.9</v>
      </c>
      <c r="G27" s="9">
        <v>0.62</v>
      </c>
      <c r="H27" s="10">
        <v>0.73</v>
      </c>
      <c r="J27" s="23">
        <v>0.91</v>
      </c>
      <c r="K27" s="33">
        <v>0.81</v>
      </c>
      <c r="L27" s="25">
        <v>0.86</v>
      </c>
      <c r="M27" s="23">
        <v>0.87</v>
      </c>
      <c r="N27" s="24">
        <v>0.62</v>
      </c>
      <c r="O27" s="25">
        <v>0.72</v>
      </c>
    </row>
    <row r="29" spans="1:15" x14ac:dyDescent="0.35">
      <c r="J29">
        <f>C19-J19</f>
        <v>-0.12</v>
      </c>
      <c r="K29">
        <f t="shared" ref="K29:O29" si="7">D19-K19</f>
        <v>-0.14000000000000001</v>
      </c>
      <c r="L29">
        <f t="shared" si="7"/>
        <v>-0.14000000000000001</v>
      </c>
      <c r="M29">
        <f t="shared" si="7"/>
        <v>0.10999999999999999</v>
      </c>
      <c r="N29">
        <f t="shared" si="7"/>
        <v>5.0000000000000044E-2</v>
      </c>
      <c r="O29">
        <f t="shared" si="7"/>
        <v>6.9999999999999951E-2</v>
      </c>
    </row>
    <row r="33" spans="10:15" x14ac:dyDescent="0.35">
      <c r="J33">
        <f t="shared" ref="J30:J35" si="8">C23-J23</f>
        <v>-6.9999999999999951E-2</v>
      </c>
      <c r="K33">
        <f t="shared" ref="K30:K36" si="9">D23-K23</f>
        <v>-5.9999999999999942E-2</v>
      </c>
      <c r="L33">
        <f t="shared" ref="L30:L36" si="10">E23-L23</f>
        <v>-7.0000000000000062E-2</v>
      </c>
      <c r="M33">
        <f t="shared" ref="M30:M36" si="11">F23-M23</f>
        <v>0</v>
      </c>
      <c r="N33">
        <f t="shared" ref="N30:N36" si="12">G23-N23</f>
        <v>0.20000000000000007</v>
      </c>
      <c r="O33">
        <f t="shared" ref="O30:O36" si="13">H23-O23</f>
        <v>0.13</v>
      </c>
    </row>
    <row r="37" spans="10:15" x14ac:dyDescent="0.35">
      <c r="J37">
        <f t="shared" ref="J37" si="14">C27-J27</f>
        <v>-9.000000000000008E-2</v>
      </c>
      <c r="K37">
        <f t="shared" ref="K37" si="15">D27-K27</f>
        <v>-8.0000000000000071E-2</v>
      </c>
      <c r="L37">
        <f t="shared" ref="L37" si="16">E27-L27</f>
        <v>-8.9999999999999969E-2</v>
      </c>
      <c r="M37">
        <f t="shared" ref="M37" si="17">F27-M27</f>
        <v>3.0000000000000027E-2</v>
      </c>
      <c r="N37">
        <f t="shared" ref="N37" si="18">G27-N27</f>
        <v>0</v>
      </c>
      <c r="O37">
        <f t="shared" ref="O37" si="19">H27-O27</f>
        <v>1.0000000000000009E-2</v>
      </c>
    </row>
  </sheetData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dcterms:created xsi:type="dcterms:W3CDTF">2026-04-26T14:19:29Z</dcterms:created>
  <dcterms:modified xsi:type="dcterms:W3CDTF">2026-04-26T14:50:18Z</dcterms:modified>
</cp:coreProperties>
</file>